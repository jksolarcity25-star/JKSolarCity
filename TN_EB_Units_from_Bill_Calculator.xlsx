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ptop-143\Downloads\"/>
    </mc:Choice>
  </mc:AlternateContent>
  <xr:revisionPtr revIDLastSave="0" documentId="13_ncr:1_{0DE3ED6D-DC79-431A-AAAF-D8AA2A439A0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olar" sheetId="4" r:id="rId1"/>
    <sheet name="Calculator" sheetId="1" r:id="rId2"/>
    <sheet name="Tariff Master" sheetId="2" r:id="rId3"/>
    <sheet name="Working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4" l="1"/>
  <c r="C8" i="4" s="1"/>
  <c r="B12" i="4"/>
  <c r="I5" i="4"/>
  <c r="I6" i="4" s="1"/>
  <c r="B5" i="1"/>
  <c r="B2" i="3" s="1"/>
  <c r="C4" i="4"/>
  <c r="B6" i="1"/>
  <c r="B3" i="3" s="1"/>
  <c r="D32" i="3"/>
  <c r="C32" i="3"/>
  <c r="E32" i="3" s="1"/>
  <c r="B32" i="3"/>
  <c r="D31" i="3"/>
  <c r="C31" i="3"/>
  <c r="E31" i="3" s="1"/>
  <c r="B31" i="3"/>
  <c r="D30" i="3"/>
  <c r="C30" i="3"/>
  <c r="E30" i="3" s="1"/>
  <c r="B30" i="3"/>
  <c r="D29" i="3"/>
  <c r="C29" i="3"/>
  <c r="E29" i="3" s="1"/>
  <c r="B29" i="3"/>
  <c r="D28" i="3"/>
  <c r="C28" i="3"/>
  <c r="E28" i="3" s="1"/>
  <c r="B28" i="3"/>
  <c r="D27" i="3"/>
  <c r="C27" i="3"/>
  <c r="E27" i="3" s="1"/>
  <c r="B27" i="3"/>
  <c r="E26" i="3"/>
  <c r="G26" i="3" s="1"/>
  <c r="D26" i="3"/>
  <c r="C26" i="3"/>
  <c r="B26" i="3"/>
  <c r="D22" i="3"/>
  <c r="C22" i="3"/>
  <c r="E22" i="3" s="1"/>
  <c r="G22" i="3" s="1"/>
  <c r="B22" i="3"/>
  <c r="G21" i="3"/>
  <c r="E21" i="3"/>
  <c r="D21" i="3"/>
  <c r="C21" i="3"/>
  <c r="B21" i="3"/>
  <c r="D20" i="3"/>
  <c r="C20" i="3"/>
  <c r="E20" i="3" s="1"/>
  <c r="G20" i="3" s="1"/>
  <c r="B20" i="3"/>
  <c r="G19" i="3"/>
  <c r="E19" i="3"/>
  <c r="D19" i="3"/>
  <c r="C19" i="3"/>
  <c r="B19" i="3"/>
  <c r="D18" i="3"/>
  <c r="C18" i="3"/>
  <c r="E18" i="3" s="1"/>
  <c r="B18" i="3"/>
  <c r="E17" i="3"/>
  <c r="D17" i="3"/>
  <c r="C17" i="3"/>
  <c r="B17" i="3"/>
  <c r="D16" i="3"/>
  <c r="C16" i="3"/>
  <c r="B16" i="3"/>
  <c r="E16" i="3" s="1"/>
  <c r="B16" i="1" l="1"/>
  <c r="B4" i="3" s="1"/>
  <c r="B5" i="3" s="1"/>
  <c r="G30" i="3" s="1"/>
  <c r="F17" i="3"/>
  <c r="F18" i="3" s="1"/>
  <c r="F19" i="3" s="1"/>
  <c r="F20" i="3" s="1"/>
  <c r="F21" i="3" s="1"/>
  <c r="F22" i="3" s="1"/>
  <c r="B6" i="3" s="1"/>
  <c r="G16" i="3"/>
  <c r="F27" i="3"/>
  <c r="F28" i="3" s="1"/>
  <c r="F29" i="3" s="1"/>
  <c r="F30" i="3" s="1"/>
  <c r="F31" i="3" s="1"/>
  <c r="F32" i="3" s="1"/>
  <c r="G28" i="3" l="1"/>
  <c r="G32" i="3"/>
  <c r="G17" i="3"/>
  <c r="G27" i="3"/>
  <c r="B10" i="3"/>
  <c r="G31" i="3"/>
  <c r="G18" i="3"/>
  <c r="G29" i="3"/>
  <c r="B7" i="3" l="1"/>
  <c r="B8" i="3"/>
  <c r="B12" i="3" s="1"/>
  <c r="A20" i="1" s="1"/>
  <c r="B9" i="3" l="1"/>
  <c r="B11" i="3" s="1"/>
  <c r="B10" i="1" s="1"/>
  <c r="E29" i="1" l="1"/>
  <c r="B2" i="4"/>
  <c r="C26" i="1"/>
  <c r="B12" i="1"/>
  <c r="E26" i="1"/>
  <c r="B26" i="1"/>
  <c r="C29" i="1"/>
  <c r="B31" i="1"/>
  <c r="B27" i="1"/>
  <c r="B25" i="1"/>
  <c r="B28" i="1"/>
  <c r="C31" i="1"/>
  <c r="A31" i="1" s="1"/>
  <c r="E27" i="1"/>
  <c r="C30" i="1"/>
  <c r="E30" i="1"/>
  <c r="B30" i="1"/>
  <c r="C27" i="1"/>
  <c r="E31" i="1"/>
  <c r="B29" i="1"/>
  <c r="E28" i="1"/>
  <c r="C25" i="1"/>
  <c r="E25" i="1"/>
  <c r="C28" i="1"/>
  <c r="A28" i="1" s="1"/>
  <c r="B11" i="1"/>
  <c r="B6" i="4" l="1"/>
  <c r="B7" i="4" s="1"/>
  <c r="B8" i="4" s="1"/>
  <c r="B9" i="4" s="1"/>
  <c r="E6" i="4"/>
  <c r="D25" i="1"/>
  <c r="F25" i="1" s="1"/>
  <c r="D29" i="1"/>
  <c r="F29" i="1" s="1"/>
  <c r="D30" i="1"/>
  <c r="F30" i="1" s="1"/>
  <c r="A27" i="1"/>
  <c r="D26" i="1"/>
  <c r="F26" i="1" s="1"/>
  <c r="A30" i="1"/>
  <c r="D27" i="1"/>
  <c r="F27" i="1" s="1"/>
  <c r="A29" i="1"/>
  <c r="D28" i="1"/>
  <c r="F28" i="1" s="1"/>
  <c r="A25" i="1"/>
  <c r="D31" i="1"/>
  <c r="F31" i="1" s="1"/>
  <c r="A26" i="1"/>
  <c r="B10" i="4" l="1"/>
  <c r="B11" i="4" s="1"/>
  <c r="B13" i="4" s="1"/>
  <c r="B13" i="1"/>
  <c r="B14" i="1" s="1"/>
  <c r="B15" i="1"/>
  <c r="B17" i="1" s="1"/>
  <c r="B18" i="1" s="1"/>
  <c r="B19" i="1" s="1"/>
  <c r="F32" i="1"/>
  <c r="D32" i="1"/>
  <c r="B14" i="4" l="1"/>
</calcChain>
</file>

<file path=xl/sharedStrings.xml><?xml version="1.0" encoding="utf-8"?>
<sst xmlns="http://schemas.openxmlformats.org/spreadsheetml/2006/main" count="130" uniqueCount="111">
  <si>
    <t>TAMIL NADU EB – FIND UNITS CONSUMED FROM YOUR 2-MONTH BILL</t>
  </si>
  <si>
    <t>Yellow cells = your inputs. Everything else is formula-driven from the 'Tariff Master' sheet.</t>
  </si>
  <si>
    <t>INPUTS</t>
  </si>
  <si>
    <t>Enter here</t>
  </si>
  <si>
    <t>Help</t>
  </si>
  <si>
    <t>Connection type</t>
  </si>
  <si>
    <t>Select Home or Commercial</t>
  </si>
  <si>
    <t>Last 2 months' EB bill amount (₹)</t>
  </si>
  <si>
    <t>Total bill for the 2-month cycle (example value – overwrite)</t>
  </si>
  <si>
    <t>Sanctioned load (kW) – Commercial only</t>
  </si>
  <si>
    <t>Printed on the commercial bill; used to remove the fixed charge. Ignored for Home</t>
  </si>
  <si>
    <t>RESULT</t>
  </si>
  <si>
    <t>Value</t>
  </si>
  <si>
    <t>How it is worked out</t>
  </si>
  <si>
    <t>EB UNITS CONSUMED IN 2 MONTHS</t>
  </si>
  <si>
    <t>Bill worked backwards through the slabs, rounded to whole units</t>
  </si>
  <si>
    <t>Average units per month</t>
  </si>
  <si>
    <t>Total ÷ billing months</t>
  </si>
  <si>
    <t>Tariff applied</t>
  </si>
  <si>
    <t>Picked automatically from the derived units</t>
  </si>
  <si>
    <t>Free (subsidised) units</t>
  </si>
  <si>
    <t>Domestic only – units in ₹0 slabs</t>
  </si>
  <si>
    <t>Chargeable (billable) units</t>
  </si>
  <si>
    <t>Total – free units</t>
  </si>
  <si>
    <t>Energy charge (₹)</t>
  </si>
  <si>
    <t>Home: slab-wise (telescopic). Commercial: single rate × all units</t>
  </si>
  <si>
    <t>Fixed charge (₹)</t>
  </si>
  <si>
    <t>Commercial: load kW × ₹/kW/month × 2 months</t>
  </si>
  <si>
    <t>Electricity duty (₹)</t>
  </si>
  <si>
    <t>Home 0%; Commercial 5% of energy charge</t>
  </si>
  <si>
    <t>Check: bill recomputed from these units (₹)</t>
  </si>
  <si>
    <t>Forward calculation – should match your bill</t>
  </si>
  <si>
    <t>Difference vs your entered bill (₹)</t>
  </si>
  <si>
    <t>Small (&lt;₹10) = rounding. Large = bill has other charges (FPPA, arrears, etc.)</t>
  </si>
  <si>
    <t>DOMESTIC SLAB-WISE BREAKDOWN OF THE DERIVED UNITS (shown only when type = Home)</t>
  </si>
  <si>
    <t>Slab</t>
  </si>
  <si>
    <t>From (&gt;)</t>
  </si>
  <si>
    <t>To (≤)</t>
  </si>
  <si>
    <t>Units in slab</t>
  </si>
  <si>
    <t>Rate (₹/unit)</t>
  </si>
  <si>
    <t>Amount (₹)</t>
  </si>
  <si>
    <t>Total</t>
  </si>
  <si>
    <t>How it works: the bill is worked backwards – duty and fixed charge are removed, then the remaining amount is pushed through the slabs (Workings sheet) to find the units. Home: exempt from duty; telescopic slabs; crossing 500 units drops free units from 200 to 100. Commercial: no free units; one flat rate on ALL units (₹6.65 up to 100, ₹10.45 above). The result is exact only if your bill contains just energy + fixed charge + duty; FPPA, meter rent, arrears etc. will inflate the units – see the Difference row. Rates: 'Tariff Master'.</t>
  </si>
  <si>
    <t>TAMIL NADU EB TARIFF – MASTER (TNPDCL / TANGEDCO)</t>
  </si>
  <si>
    <t>Basis: TNERC Tariff Order No. 6 of 2025 (30-06-2025, effective 01-07-2025) – still in force; no revision for 2026-27 as per reports dated 25-Jun-2026. Free-unit scheme: GoTN G.O.(Ms) No.50 dated 10-05-2026. Verified online on 05-Oct-2026. Blue cells = editable master values; update them if TNERC issues a new order.</t>
  </si>
  <si>
    <t>DOMESTIC (Home) LT-IA – TIER A: bi-monthly consumption ≤ 500 units (first 200 units FREE)</t>
  </si>
  <si>
    <t>Slab No.</t>
  </si>
  <si>
    <t>From (units &gt;)</t>
  </si>
  <si>
    <t>To (units ≤)</t>
  </si>
  <si>
    <t>Remark</t>
  </si>
  <si>
    <t>Free (Govt. subsidy, G.O. 50 of 2026)</t>
  </si>
  <si>
    <t>Tier A ends at 500 units</t>
  </si>
  <si>
    <t>(slabs 4–7 not applicable in Tier A)</t>
  </si>
  <si>
    <t>DOMESTIC (Home) LT-IA – TIER B: bi-monthly consumption &gt; 500 units (only first 100 units FREE)</t>
  </si>
  <si>
    <t>Free (reduced subsidy above 500 units)</t>
  </si>
  <si>
    <t>No upper limit</t>
  </si>
  <si>
    <t>OTHER PARAMETERS</t>
  </si>
  <si>
    <t>Parameter</t>
  </si>
  <si>
    <t>Note</t>
  </si>
  <si>
    <t>Domestic tier cut-off (bi-monthly units)</t>
  </si>
  <si>
    <t>≤ this → Tier A (200 free); above → Tier B (100 free)</t>
  </si>
  <si>
    <t>Commercial LT-V threshold (bi-monthly units)</t>
  </si>
  <si>
    <t>≤100 units → lower rate; above → higher rate on ALL units (not telescopic)</t>
  </si>
  <si>
    <t>Commercial rate – up to threshold (₹/unit)</t>
  </si>
  <si>
    <t>LT-V Misc./General purpose</t>
  </si>
  <si>
    <t>Commercial rate – above threshold (₹/unit)</t>
  </si>
  <si>
    <t>Applied to every unit once usage crosses 100 (bi-monthly)</t>
  </si>
  <si>
    <t>Commercial fixed charge – load ≤ 50 kW (₹/kW/month)</t>
  </si>
  <si>
    <t>Sanctioned load based</t>
  </si>
  <si>
    <t>Commercial fixed charge – load &gt;50 to 112 kW (₹/kW/month)</t>
  </si>
  <si>
    <t>Commercial fixed charge – load &gt;112 kW (₹/kW/month)</t>
  </si>
  <si>
    <t>Load limit 1 (kW)</t>
  </si>
  <si>
    <t>Load limit 2 (kW)</t>
  </si>
  <si>
    <t>Billing months per cycle</t>
  </si>
  <si>
    <t>Domestic &amp; this calculator use a 2-month (bi-monthly) cycle</t>
  </si>
  <si>
    <t>Electricity duty – Commercial</t>
  </si>
  <si>
    <t>5% on energy charges (per tariff sources)</t>
  </si>
  <si>
    <t>Electricity duty – Domestic</t>
  </si>
  <si>
    <t>Domestic LT-IA is exempt</t>
  </si>
  <si>
    <t>Not included: Fuel/power purchase adjustment, meter rent, arrears, late fees, ToD charges, other surcharges. Bill amounts are therefore estimates; the EB bill itself is the final authority.</t>
  </si>
  <si>
    <t>Sources: TNERC T.O. No.6 of 2025 (tnerc.tn.gov.in); GoTN G.O.(Ms) No.50 (10-05-2026) free-units scheme; TNPDCL tariff summaries (thediscombill.com, electricbill.in, nobroker.in – cross-checked).</t>
  </si>
  <si>
    <t>WORKINGS – reverse calculation (bill amount → units). No inputs here.</t>
  </si>
  <si>
    <t>Bill amount entered (₹)</t>
  </si>
  <si>
    <t>Fixed charge deducted (₹)</t>
  </si>
  <si>
    <t>Net energy charge incl. duty removed (₹)</t>
  </si>
  <si>
    <t>Home Tier A – max energy charge at 500 units (₹)</t>
  </si>
  <si>
    <t>Home Tier A – units from bill</t>
  </si>
  <si>
    <t>Home Tier B – units from bill</t>
  </si>
  <si>
    <t>Home – derived units</t>
  </si>
  <si>
    <t>Commercial – derived units</t>
  </si>
  <si>
    <t>Derived units (unrounded)</t>
  </si>
  <si>
    <t>Bill falls in a slab gap? (TRUE/FALSE)</t>
  </si>
  <si>
    <t>Home Tier A (≤500 units)</t>
  </si>
  <si>
    <t>Width (units)</t>
  </si>
  <si>
    <t>Bill at slab start (₹)</t>
  </si>
  <si>
    <t>Units from bill</t>
  </si>
  <si>
    <t>Home Tier B (&gt;500 units)</t>
  </si>
  <si>
    <t>Years</t>
  </si>
  <si>
    <t>Months for ROI</t>
  </si>
  <si>
    <t>Expense</t>
  </si>
  <si>
    <t>SubSidy</t>
  </si>
  <si>
    <t>Investment</t>
  </si>
  <si>
    <t>kW Required</t>
  </si>
  <si>
    <t>Per Day</t>
  </si>
  <si>
    <t>Monthly Cons</t>
  </si>
  <si>
    <t>With Subsidy?</t>
  </si>
  <si>
    <t>2 Months cons</t>
  </si>
  <si>
    <t>2 Months Bill</t>
  </si>
  <si>
    <t>Is Home?</t>
  </si>
  <si>
    <t>Fixed Bill</t>
  </si>
  <si>
    <t>Yearly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</si>
</sst>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#,##0.##"/>
    <numFmt numFmtId="165" formatCode="#,##0.0"/>
    <numFmt numFmtId="166" formatCode="#,##0.00;\-#,##0.00;0.00"/>
    <numFmt numFmtId="167" formatCode="[&gt;=999999999]&quot;No limit&quot;;#,##0"/>
    <numFmt numFmtId="168" formatCode="0.0%"/>
    <numFmt numFmtId="169" formatCode="_ * #,##0_ ;_ * \-#,##0_ ;_ * &quot;-&quot;??_ ;_ @_ "/>
    <numFmt numFmtId="170" formatCode="0\ &quot;kW&quot;"/>
    <numFmt numFmtId="171" formatCode="0.0\ &quot;Units&quot;"/>
    <numFmt numFmtId="172" formatCode="0\ &quot;Units&quot;"/>
    <numFmt numFmtId="173" formatCode="0\ &quot; Rs&quot;"/>
  </numFmts>
  <fonts count="15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sz val="9"/>
      <name val="Arial"/>
      <charset val="1"/>
    </font>
    <font>
      <b/>
      <sz val="10"/>
      <color rgb="FFC0000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color rgb="FF7F7F7F"/>
      <name val="Arial"/>
      <charset val="1"/>
    </font>
    <font>
      <b/>
      <sz val="12"/>
      <name val="Arial"/>
      <charset val="1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E2EFDA"/>
      </patternFill>
    </fill>
    <fill>
      <patternFill patternType="solid">
        <fgColor rgb="FFA9D08E"/>
        <bgColor rgb="FFBFBFBF"/>
      </patternFill>
    </fill>
    <fill>
      <patternFill patternType="solid">
        <fgColor rgb="FFE2EFDA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44">
    <xf numFmtId="0" fontId="0" fillId="0" borderId="0" xfId="0"/>
    <xf numFmtId="0" fontId="3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3" borderId="1" xfId="0" applyFont="1" applyFill="1" applyBorder="1" applyAlignment="1">
      <alignment horizontal="center"/>
    </xf>
    <xf numFmtId="0" fontId="7" fillId="0" borderId="1" xfId="0" applyFont="1" applyBorder="1"/>
    <xf numFmtId="4" fontId="6" fillId="3" borderId="1" xfId="0" applyNumberFormat="1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5" fillId="4" borderId="1" xfId="0" applyFont="1" applyFill="1" applyBorder="1"/>
    <xf numFmtId="3" fontId="2" fillId="5" borderId="1" xfId="0" applyNumberFormat="1" applyFont="1" applyFill="1" applyBorder="1" applyAlignment="1">
      <alignment horizontal="right" wrapText="1"/>
    </xf>
    <xf numFmtId="165" fontId="5" fillId="6" borderId="1" xfId="0" applyNumberFormat="1" applyFont="1" applyFill="1" applyBorder="1" applyAlignment="1">
      <alignment horizontal="right" wrapText="1"/>
    </xf>
    <xf numFmtId="49" fontId="5" fillId="6" borderId="1" xfId="0" applyNumberFormat="1" applyFont="1" applyFill="1" applyBorder="1" applyAlignment="1">
      <alignment horizontal="left" wrapText="1"/>
    </xf>
    <xf numFmtId="3" fontId="5" fillId="6" borderId="1" xfId="0" applyNumberFormat="1" applyFont="1" applyFill="1" applyBorder="1" applyAlignment="1">
      <alignment horizontal="right" wrapText="1"/>
    </xf>
    <xf numFmtId="4" fontId="5" fillId="6" borderId="1" xfId="0" applyNumberFormat="1" applyFont="1" applyFill="1" applyBorder="1" applyAlignment="1">
      <alignment horizontal="right" wrapText="1"/>
    </xf>
    <xf numFmtId="166" fontId="5" fillId="6" borderId="1" xfId="0" applyNumberFormat="1" applyFont="1" applyFill="1" applyBorder="1" applyAlignment="1">
      <alignment horizontal="right" wrapText="1"/>
    </xf>
    <xf numFmtId="0" fontId="5" fillId="0" borderId="0" xfId="0" applyFont="1"/>
    <xf numFmtId="0" fontId="9" fillId="0" borderId="1" xfId="0" applyFont="1" applyBorder="1"/>
    <xf numFmtId="3" fontId="9" fillId="0" borderId="1" xfId="0" applyNumberFormat="1" applyFont="1" applyBorder="1"/>
    <xf numFmtId="167" fontId="9" fillId="0" borderId="1" xfId="0" applyNumberFormat="1" applyFont="1" applyBorder="1"/>
    <xf numFmtId="2" fontId="9" fillId="0" borderId="1" xfId="0" applyNumberFormat="1" applyFont="1" applyBorder="1"/>
    <xf numFmtId="4" fontId="9" fillId="0" borderId="1" xfId="0" applyNumberFormat="1" applyFont="1" applyBorder="1"/>
    <xf numFmtId="3" fontId="5" fillId="4" borderId="1" xfId="0" applyNumberFormat="1" applyFont="1" applyFill="1" applyBorder="1"/>
    <xf numFmtId="4" fontId="5" fillId="4" borderId="1" xfId="0" applyNumberFormat="1" applyFont="1" applyFill="1" applyBorder="1"/>
    <xf numFmtId="0" fontId="10" fillId="0" borderId="1" xfId="0" applyFont="1" applyBorder="1"/>
    <xf numFmtId="2" fontId="10" fillId="0" borderId="1" xfId="0" applyNumberFormat="1" applyFont="1" applyBorder="1"/>
    <xf numFmtId="0" fontId="11" fillId="0" borderId="1" xfId="0" applyFont="1" applyBorder="1"/>
    <xf numFmtId="3" fontId="10" fillId="0" borderId="1" xfId="0" applyNumberFormat="1" applyFont="1" applyBorder="1"/>
    <xf numFmtId="168" fontId="10" fillId="0" borderId="1" xfId="0" applyNumberFormat="1" applyFont="1" applyBorder="1"/>
    <xf numFmtId="0" fontId="12" fillId="0" borderId="0" xfId="0" applyFont="1"/>
    <xf numFmtId="49" fontId="9" fillId="0" borderId="1" xfId="0" applyNumberFormat="1" applyFont="1" applyBorder="1"/>
    <xf numFmtId="0" fontId="14" fillId="0" borderId="1" xfId="0" applyFont="1" applyBorder="1"/>
    <xf numFmtId="49" fontId="14" fillId="0" borderId="1" xfId="0" applyNumberFormat="1" applyFont="1" applyBorder="1"/>
    <xf numFmtId="169" fontId="0" fillId="0" borderId="0" xfId="0" applyNumberFormat="1"/>
    <xf numFmtId="169" fontId="0" fillId="0" borderId="0" xfId="1" applyNumberFormat="1" applyFon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72" fontId="13" fillId="0" borderId="0" xfId="0" applyNumberFormat="1" applyFont="1"/>
    <xf numFmtId="173" fontId="13" fillId="0" borderId="0" xfId="0" applyNumberFormat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A9D0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70AB-03EF-4A62-9F4F-E858E375E7CC}">
  <dimension ref="A1:I14"/>
  <sheetViews>
    <sheetView tabSelected="1" workbookViewId="0">
      <selection activeCell="B2" sqref="B2"/>
    </sheetView>
  </sheetViews>
  <sheetFormatPr defaultRowHeight="14.5" x14ac:dyDescent="0.35"/>
  <cols>
    <col min="1" max="1" width="12.453125" bestFit="1" customWidth="1"/>
    <col min="2" max="2" width="11.1796875" bestFit="1" customWidth="1"/>
    <col min="3" max="3" width="11.54296875" customWidth="1"/>
    <col min="4" max="4" width="2.54296875" customWidth="1"/>
    <col min="6" max="6" width="9.6328125" bestFit="1" customWidth="1"/>
  </cols>
  <sheetData>
    <row r="1" spans="1:9" x14ac:dyDescent="0.35">
      <c r="A1" t="s">
        <v>107</v>
      </c>
      <c r="B1" s="42">
        <v>4000</v>
      </c>
      <c r="E1" s="37">
        <v>1</v>
      </c>
      <c r="F1" s="36">
        <v>35000</v>
      </c>
    </row>
    <row r="2" spans="1:9" x14ac:dyDescent="0.35">
      <c r="A2" t="s">
        <v>106</v>
      </c>
      <c r="B2" s="41">
        <f>Calculator!B10</f>
        <v>697</v>
      </c>
      <c r="E2" s="37">
        <v>2</v>
      </c>
      <c r="F2" s="36">
        <v>70000</v>
      </c>
    </row>
    <row r="3" spans="1:9" x14ac:dyDescent="0.35">
      <c r="A3" t="s">
        <v>109</v>
      </c>
      <c r="B3">
        <v>350</v>
      </c>
      <c r="E3" s="37">
        <v>3</v>
      </c>
      <c r="F3" s="36">
        <v>100000</v>
      </c>
    </row>
    <row r="4" spans="1:9" x14ac:dyDescent="0.35">
      <c r="A4" t="s">
        <v>108</v>
      </c>
      <c r="B4" s="40" t="b">
        <v>1</v>
      </c>
      <c r="C4" t="str">
        <f>IF(B4,"Home","Commercial")</f>
        <v>Home</v>
      </c>
      <c r="E4" s="37">
        <v>100</v>
      </c>
      <c r="F4" s="36">
        <v>100000</v>
      </c>
      <c r="I4" s="36">
        <v>250000</v>
      </c>
    </row>
    <row r="5" spans="1:9" x14ac:dyDescent="0.35">
      <c r="A5" t="s">
        <v>105</v>
      </c>
      <c r="B5" s="40" t="b">
        <f>B4</f>
        <v>1</v>
      </c>
      <c r="E5" s="37"/>
      <c r="I5" s="43">
        <f>I4/7650</f>
        <v>32.679738562091501</v>
      </c>
    </row>
    <row r="6" spans="1:9" x14ac:dyDescent="0.35">
      <c r="A6" t="s">
        <v>104</v>
      </c>
      <c r="B6" s="39">
        <f>B2/2</f>
        <v>348.5</v>
      </c>
      <c r="E6">
        <f>C7/4</f>
        <v>0</v>
      </c>
      <c r="I6" s="43">
        <f>I5/6</f>
        <v>5.4466230936819171</v>
      </c>
    </row>
    <row r="7" spans="1:9" x14ac:dyDescent="0.35">
      <c r="A7" t="s">
        <v>103</v>
      </c>
      <c r="B7" s="38">
        <f>B6/30</f>
        <v>11.616666666666667</v>
      </c>
    </row>
    <row r="8" spans="1:9" x14ac:dyDescent="0.35">
      <c r="A8" t="s">
        <v>102</v>
      </c>
      <c r="B8" s="37">
        <f>ROUNDUP(B7/4,0)</f>
        <v>3</v>
      </c>
      <c r="C8" s="36">
        <f>IF(B5,70000,60000)</f>
        <v>70000</v>
      </c>
    </row>
    <row r="9" spans="1:9" x14ac:dyDescent="0.35">
      <c r="A9" t="s">
        <v>101</v>
      </c>
      <c r="B9" s="36">
        <f>B8*C8</f>
        <v>210000</v>
      </c>
      <c r="C9" s="36"/>
    </row>
    <row r="10" spans="1:9" x14ac:dyDescent="0.35">
      <c r="A10" t="s">
        <v>100</v>
      </c>
      <c r="B10" s="36">
        <f>IF(B5,_xlfn.XLOOKUP(B8,E:E,F:F,"",1),0)</f>
        <v>100000</v>
      </c>
      <c r="C10" s="36"/>
    </row>
    <row r="11" spans="1:9" x14ac:dyDescent="0.35">
      <c r="A11" t="s">
        <v>99</v>
      </c>
      <c r="B11" s="36">
        <f>B9-B10</f>
        <v>110000</v>
      </c>
    </row>
    <row r="12" spans="1:9" x14ac:dyDescent="0.35">
      <c r="A12" t="s">
        <v>110</v>
      </c>
      <c r="B12" s="36">
        <f>((B1-B3)*6)</f>
        <v>21900</v>
      </c>
    </row>
    <row r="13" spans="1:9" x14ac:dyDescent="0.35">
      <c r="A13" t="s">
        <v>98</v>
      </c>
      <c r="B13" s="35">
        <f>ROUND(B11/B12*12,0)</f>
        <v>60</v>
      </c>
    </row>
    <row r="14" spans="1:9" x14ac:dyDescent="0.35">
      <c r="A14" t="s">
        <v>97</v>
      </c>
      <c r="B14" t="str">
        <f>ROUNDDOWN(B13/12,0)&amp;" Years &amp; "&amp;(MOD(B13,12))&amp;" Months"</f>
        <v>5 Years &amp; 0 Months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zoomScaleNormal="100" workbookViewId="0">
      <pane ySplit="3" topLeftCell="A18" activePane="bottomLeft" state="frozen"/>
      <selection pane="bottomLeft" activeCell="B6" sqref="B6"/>
    </sheetView>
  </sheetViews>
  <sheetFormatPr defaultColWidth="8.6328125" defaultRowHeight="14.5" x14ac:dyDescent="0.35"/>
  <cols>
    <col min="1" max="1" width="46" customWidth="1"/>
    <col min="2" max="2" width="30" customWidth="1"/>
    <col min="3" max="3" width="52" customWidth="1"/>
    <col min="4" max="6" width="16" customWidth="1"/>
  </cols>
  <sheetData>
    <row r="1" spans="1:3" ht="18" x14ac:dyDescent="0.4">
      <c r="A1" s="3" t="s">
        <v>0</v>
      </c>
    </row>
    <row r="2" spans="1:3" x14ac:dyDescent="0.35">
      <c r="A2" s="4" t="s">
        <v>1</v>
      </c>
    </row>
    <row r="4" spans="1:3" x14ac:dyDescent="0.35">
      <c r="A4" s="5" t="s">
        <v>2</v>
      </c>
      <c r="B4" s="5" t="s">
        <v>3</v>
      </c>
      <c r="C4" s="5" t="s">
        <v>4</v>
      </c>
    </row>
    <row r="5" spans="1:3" x14ac:dyDescent="0.35">
      <c r="A5" s="6" t="s">
        <v>5</v>
      </c>
      <c r="B5" s="7" t="str">
        <f>IF(Solar!B4,"Home","Commercial")</f>
        <v>Home</v>
      </c>
      <c r="C5" s="8" t="s">
        <v>6</v>
      </c>
    </row>
    <row r="6" spans="1:3" x14ac:dyDescent="0.35">
      <c r="A6" s="6" t="s">
        <v>7</v>
      </c>
      <c r="B6" s="9">
        <f>Solar!B1</f>
        <v>4000</v>
      </c>
      <c r="C6" s="8" t="s">
        <v>8</v>
      </c>
    </row>
    <row r="7" spans="1:3" x14ac:dyDescent="0.35">
      <c r="A7" s="6" t="s">
        <v>9</v>
      </c>
      <c r="B7" s="10">
        <v>1</v>
      </c>
      <c r="C7" s="8" t="s">
        <v>10</v>
      </c>
    </row>
    <row r="9" spans="1:3" x14ac:dyDescent="0.35">
      <c r="A9" s="5" t="s">
        <v>11</v>
      </c>
      <c r="B9" s="5" t="s">
        <v>12</v>
      </c>
      <c r="C9" s="5" t="s">
        <v>13</v>
      </c>
    </row>
    <row r="10" spans="1:3" ht="18" x14ac:dyDescent="0.4">
      <c r="A10" s="11" t="s">
        <v>14</v>
      </c>
      <c r="B10" s="12">
        <f>ROUND(Workings!B11,0)</f>
        <v>697</v>
      </c>
      <c r="C10" s="8" t="s">
        <v>15</v>
      </c>
    </row>
    <row r="11" spans="1:3" x14ac:dyDescent="0.35">
      <c r="A11" s="6" t="s">
        <v>16</v>
      </c>
      <c r="B11" s="13">
        <f>B10/'Tariff Master'!$B$37</f>
        <v>348.5</v>
      </c>
      <c r="C11" s="8" t="s">
        <v>17</v>
      </c>
    </row>
    <row r="12" spans="1:3" ht="42" customHeight="1" x14ac:dyDescent="0.35">
      <c r="A12" s="6" t="s">
        <v>18</v>
      </c>
      <c r="B12" s="14" t="str">
        <f>IF(B5="Home","Domestic LT-IA – "&amp;IF(B10&lt;='Tariff Master'!$B$28,"Tier A (≤500 units, first 200 free)","Tier B (&gt;500 units, first 100 free)"),"Commercial LT-V – "&amp;IF(B10&lt;='Tariff Master'!$B$29,"flat rate up to 100 units","flat rate on all units (above 100)"))</f>
        <v>Domestic LT-IA – Tier B (&gt;500 units, first 100 free)</v>
      </c>
      <c r="C12" s="8" t="s">
        <v>19</v>
      </c>
    </row>
    <row r="13" spans="1:3" x14ac:dyDescent="0.35">
      <c r="A13" s="6" t="s">
        <v>20</v>
      </c>
      <c r="B13" s="15">
        <f>IF(B5="Home",SUMIF(E25:E31,0,D25:D31),0)</f>
        <v>100</v>
      </c>
      <c r="C13" s="8" t="s">
        <v>21</v>
      </c>
    </row>
    <row r="14" spans="1:3" x14ac:dyDescent="0.35">
      <c r="A14" s="6" t="s">
        <v>22</v>
      </c>
      <c r="B14" s="15">
        <f>B10-B13</f>
        <v>597</v>
      </c>
      <c r="C14" s="8" t="s">
        <v>23</v>
      </c>
    </row>
    <row r="15" spans="1:3" x14ac:dyDescent="0.35">
      <c r="A15" s="6" t="s">
        <v>24</v>
      </c>
      <c r="B15" s="16">
        <f>IF(B5="Home",SUM(F25:F31),B10*IF(B10&lt;='Tariff Master'!$B$29,'Tariff Master'!$B$30,'Tariff Master'!$B$31))</f>
        <v>3995.15</v>
      </c>
      <c r="C15" s="8" t="s">
        <v>25</v>
      </c>
    </row>
    <row r="16" spans="1:3" x14ac:dyDescent="0.35">
      <c r="A16" s="6" t="s">
        <v>26</v>
      </c>
      <c r="B16" s="16">
        <f>IF(B5="Commercial",N(B7)*IF(N(B7)&lt;='Tariff Master'!$B$35,'Tariff Master'!$B$32,IF(N(B7)&lt;='Tariff Master'!$B$36,'Tariff Master'!$B$33,'Tariff Master'!$B$34))*'Tariff Master'!$B$37,0)</f>
        <v>0</v>
      </c>
      <c r="C16" s="8" t="s">
        <v>27</v>
      </c>
    </row>
    <row r="17" spans="1:6" x14ac:dyDescent="0.35">
      <c r="A17" s="6" t="s">
        <v>28</v>
      </c>
      <c r="B17" s="16">
        <f>B15*IF(B5="Home",'Tariff Master'!$B$39,'Tariff Master'!$B$38)</f>
        <v>0</v>
      </c>
      <c r="C17" s="8" t="s">
        <v>29</v>
      </c>
    </row>
    <row r="18" spans="1:6" x14ac:dyDescent="0.35">
      <c r="A18" s="6" t="s">
        <v>30</v>
      </c>
      <c r="B18" s="16">
        <f>B15+B16+B17</f>
        <v>3995.15</v>
      </c>
      <c r="C18" s="8" t="s">
        <v>31</v>
      </c>
    </row>
    <row r="19" spans="1:6" x14ac:dyDescent="0.35">
      <c r="A19" s="6" t="s">
        <v>32</v>
      </c>
      <c r="B19" s="17">
        <f>N(B6)-B18</f>
        <v>4.8499999999999091</v>
      </c>
      <c r="C19" s="8" t="s">
        <v>33</v>
      </c>
    </row>
    <row r="20" spans="1:6" ht="31.5" customHeight="1" x14ac:dyDescent="0.35">
      <c r="A20" s="2" t="str">
        <f>IF(B6="","Enter your 2-month bill amount in B6.",IF(AND(B5="Commercial",N(B7)=0),"⚠ Enter the sanctioned load (kW) – without it the fixed charge is not deducted and units will be overstated.",IF(AND(B5="Commercial",N(B6)&lt;B16),"⚠ Bill is lower than the fixed charge – check the load (kW) and bill amount.",IF(AND(B5="Home",N(B6)=0),"⚠ ₹0 bill: units are within the free quota. Exact units cannot be derived – the figure shown is the MAXIMUM (200).",IF(Workings!B12,"⚠ This amount falls in a gap between slabs (the bill probably includes FPPA/arrears/other charges). Units shown are the nearest slab boundary – treat as approximate.","✔ Bill matches the tariff – units derived successfully.")))))</f>
        <v>✔ Bill matches the tariff – units derived successfully.</v>
      </c>
      <c r="B20" s="2"/>
      <c r="C20" s="2"/>
    </row>
    <row r="23" spans="1:6" x14ac:dyDescent="0.35">
      <c r="A23" s="18" t="s">
        <v>34</v>
      </c>
    </row>
    <row r="24" spans="1:6" x14ac:dyDescent="0.35">
      <c r="A24" s="5" t="s">
        <v>35</v>
      </c>
      <c r="B24" s="5" t="s">
        <v>36</v>
      </c>
      <c r="C24" s="5" t="s">
        <v>37</v>
      </c>
      <c r="D24" s="5" t="s">
        <v>38</v>
      </c>
      <c r="E24" s="5" t="s">
        <v>39</v>
      </c>
      <c r="F24" s="5" t="s">
        <v>40</v>
      </c>
    </row>
    <row r="25" spans="1:6" x14ac:dyDescent="0.35">
      <c r="A25" s="19" t="str">
        <f t="shared" ref="A25:A31" si="0">IF(C25=0,"",IF(C25&gt;=999999999,"Above "&amp;TEXT(B25,"#,##0"),TEXT(B25+1,"#,##0")&amp;" – "&amp;TEXT(C25,"#,##0")))</f>
        <v>1 – 100</v>
      </c>
      <c r="B25" s="20">
        <f>IF($B$10&lt;='Tariff Master'!$B$28,'Tariff Master'!B6,'Tariff Master'!B17)</f>
        <v>0</v>
      </c>
      <c r="C25" s="21">
        <f>IF($B$10&lt;='Tariff Master'!$B$28,'Tariff Master'!C6,'Tariff Master'!C17)</f>
        <v>100</v>
      </c>
      <c r="D25" s="20">
        <f t="shared" ref="D25:D31" si="1">IF($B$5="Home",MAX(0,MIN($B$10,C25)-B25),0)</f>
        <v>100</v>
      </c>
      <c r="E25" s="22">
        <f>IF($B$10&lt;='Tariff Master'!$B$28,'Tariff Master'!D6,'Tariff Master'!D17)</f>
        <v>0</v>
      </c>
      <c r="F25" s="23">
        <f t="shared" ref="F25:F31" si="2">D25*E25</f>
        <v>0</v>
      </c>
    </row>
    <row r="26" spans="1:6" x14ac:dyDescent="0.35">
      <c r="A26" s="19" t="str">
        <f t="shared" si="0"/>
        <v>101 – 400</v>
      </c>
      <c r="B26" s="20">
        <f>IF($B$10&lt;='Tariff Master'!$B$28,'Tariff Master'!B7,'Tariff Master'!B18)</f>
        <v>100</v>
      </c>
      <c r="C26" s="21">
        <f>IF($B$10&lt;='Tariff Master'!$B$28,'Tariff Master'!C7,'Tariff Master'!C18)</f>
        <v>400</v>
      </c>
      <c r="D26" s="20">
        <f t="shared" si="1"/>
        <v>300</v>
      </c>
      <c r="E26" s="22">
        <f>IF($B$10&lt;='Tariff Master'!$B$28,'Tariff Master'!D7,'Tariff Master'!D18)</f>
        <v>4.95</v>
      </c>
      <c r="F26" s="23">
        <f t="shared" si="2"/>
        <v>1485</v>
      </c>
    </row>
    <row r="27" spans="1:6" x14ac:dyDescent="0.35">
      <c r="A27" s="19" t="str">
        <f t="shared" si="0"/>
        <v>401 – 500</v>
      </c>
      <c r="B27" s="20">
        <f>IF($B$10&lt;='Tariff Master'!$B$28,'Tariff Master'!B8,'Tariff Master'!B19)</f>
        <v>400</v>
      </c>
      <c r="C27" s="21">
        <f>IF($B$10&lt;='Tariff Master'!$B$28,'Tariff Master'!C8,'Tariff Master'!C19)</f>
        <v>500</v>
      </c>
      <c r="D27" s="20">
        <f t="shared" si="1"/>
        <v>100</v>
      </c>
      <c r="E27" s="22">
        <f>IF($B$10&lt;='Tariff Master'!$B$28,'Tariff Master'!D8,'Tariff Master'!D19)</f>
        <v>6.65</v>
      </c>
      <c r="F27" s="23">
        <f t="shared" si="2"/>
        <v>665</v>
      </c>
    </row>
    <row r="28" spans="1:6" x14ac:dyDescent="0.35">
      <c r="A28" s="19" t="str">
        <f t="shared" si="0"/>
        <v>501 – 600</v>
      </c>
      <c r="B28" s="20">
        <f>IF($B$10&lt;='Tariff Master'!$B$28,'Tariff Master'!B9,'Tariff Master'!B20)</f>
        <v>500</v>
      </c>
      <c r="C28" s="21">
        <f>IF($B$10&lt;='Tariff Master'!$B$28,'Tariff Master'!C9,'Tariff Master'!C20)</f>
        <v>600</v>
      </c>
      <c r="D28" s="20">
        <f t="shared" si="1"/>
        <v>100</v>
      </c>
      <c r="E28" s="22">
        <f>IF($B$10&lt;='Tariff Master'!$B$28,'Tariff Master'!D9,'Tariff Master'!D20)</f>
        <v>8.8000000000000007</v>
      </c>
      <c r="F28" s="23">
        <f t="shared" si="2"/>
        <v>880.00000000000011</v>
      </c>
    </row>
    <row r="29" spans="1:6" x14ac:dyDescent="0.35">
      <c r="A29" s="19" t="str">
        <f t="shared" si="0"/>
        <v>601 – 800</v>
      </c>
      <c r="B29" s="20">
        <f>IF($B$10&lt;='Tariff Master'!$B$28,'Tariff Master'!B10,'Tariff Master'!B21)</f>
        <v>600</v>
      </c>
      <c r="C29" s="21">
        <f>IF($B$10&lt;='Tariff Master'!$B$28,'Tariff Master'!C10,'Tariff Master'!C21)</f>
        <v>800</v>
      </c>
      <c r="D29" s="20">
        <f t="shared" si="1"/>
        <v>97</v>
      </c>
      <c r="E29" s="22">
        <f>IF($B$10&lt;='Tariff Master'!$B$28,'Tariff Master'!D10,'Tariff Master'!D21)</f>
        <v>9.9499999999999993</v>
      </c>
      <c r="F29" s="23">
        <f t="shared" si="2"/>
        <v>965.15</v>
      </c>
    </row>
    <row r="30" spans="1:6" x14ac:dyDescent="0.35">
      <c r="A30" s="19" t="str">
        <f t="shared" si="0"/>
        <v>801 – 1,000</v>
      </c>
      <c r="B30" s="20">
        <f>IF($B$10&lt;='Tariff Master'!$B$28,'Tariff Master'!B11,'Tariff Master'!B22)</f>
        <v>800</v>
      </c>
      <c r="C30" s="21">
        <f>IF($B$10&lt;='Tariff Master'!$B$28,'Tariff Master'!C11,'Tariff Master'!C22)</f>
        <v>1000</v>
      </c>
      <c r="D30" s="20">
        <f t="shared" si="1"/>
        <v>0</v>
      </c>
      <c r="E30" s="22">
        <f>IF($B$10&lt;='Tariff Master'!$B$28,'Tariff Master'!D11,'Tariff Master'!D22)</f>
        <v>11.05</v>
      </c>
      <c r="F30" s="23">
        <f t="shared" si="2"/>
        <v>0</v>
      </c>
    </row>
    <row r="31" spans="1:6" x14ac:dyDescent="0.35">
      <c r="A31" s="19" t="str">
        <f t="shared" si="0"/>
        <v>Above 1,000</v>
      </c>
      <c r="B31" s="20">
        <f>IF($B$10&lt;='Tariff Master'!$B$28,'Tariff Master'!B12,'Tariff Master'!B23)</f>
        <v>1000</v>
      </c>
      <c r="C31" s="21">
        <f>IF($B$10&lt;='Tariff Master'!$B$28,'Tariff Master'!C12,'Tariff Master'!C23)</f>
        <v>999999999</v>
      </c>
      <c r="D31" s="20">
        <f t="shared" si="1"/>
        <v>0</v>
      </c>
      <c r="E31" s="22">
        <f>IF($B$10&lt;='Tariff Master'!$B$28,'Tariff Master'!D12,'Tariff Master'!D23)</f>
        <v>12.15</v>
      </c>
      <c r="F31" s="23">
        <f t="shared" si="2"/>
        <v>0</v>
      </c>
    </row>
    <row r="32" spans="1:6" x14ac:dyDescent="0.35">
      <c r="A32" s="11" t="s">
        <v>41</v>
      </c>
      <c r="B32" s="11"/>
      <c r="C32" s="11"/>
      <c r="D32" s="24">
        <f>SUM(D25:D31)</f>
        <v>697</v>
      </c>
      <c r="E32" s="11"/>
      <c r="F32" s="25">
        <f>SUM(F25:F31)</f>
        <v>3995.15</v>
      </c>
    </row>
    <row r="34" spans="1:6" ht="69.75" customHeight="1" x14ac:dyDescent="0.35">
      <c r="A34" s="1" t="s">
        <v>42</v>
      </c>
      <c r="B34" s="1"/>
      <c r="C34" s="1"/>
      <c r="D34" s="1"/>
      <c r="E34" s="1"/>
      <c r="F34" s="1"/>
    </row>
  </sheetData>
  <mergeCells count="2">
    <mergeCell ref="A20:C20"/>
    <mergeCell ref="A34:F34"/>
  </mergeCells>
  <dataValidations count="2">
    <dataValidation type="list" showErrorMessage="1" errorTitle="Invalid" error="Choose Home or Commercial" sqref="B5" xr:uid="{00000000-0002-0000-0000-000000000000}">
      <formula1>"Home,Commercial"</formula1>
      <formula2>0</formula2>
    </dataValidation>
    <dataValidation type="decimal" operator="greaterThanOrEqual" showErrorMessage="1" errorTitle="Invalid" error="Enter a number ≥ 0" sqref="B6:B7" xr:uid="{00000000-0002-0000-00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showGridLines="0" zoomScaleNormal="100" workbookViewId="0"/>
  </sheetViews>
  <sheetFormatPr defaultColWidth="8.6328125" defaultRowHeight="14.5" x14ac:dyDescent="0.35"/>
  <cols>
    <col min="1" max="1" width="52" customWidth="1"/>
    <col min="2" max="2" width="16" customWidth="1"/>
    <col min="3" max="3" width="22" customWidth="1"/>
    <col min="4" max="4" width="16" customWidth="1"/>
    <col min="5" max="5" width="48" customWidth="1"/>
  </cols>
  <sheetData>
    <row r="1" spans="1:5" ht="18" x14ac:dyDescent="0.4">
      <c r="A1" s="3" t="s">
        <v>43</v>
      </c>
    </row>
    <row r="2" spans="1:5" ht="48" customHeight="1" x14ac:dyDescent="0.35">
      <c r="A2" s="1" t="s">
        <v>44</v>
      </c>
      <c r="B2" s="1"/>
      <c r="C2" s="1"/>
      <c r="D2" s="1"/>
      <c r="E2" s="1"/>
    </row>
    <row r="4" spans="1:5" x14ac:dyDescent="0.35">
      <c r="A4" s="18" t="s">
        <v>45</v>
      </c>
    </row>
    <row r="5" spans="1:5" x14ac:dyDescent="0.35">
      <c r="A5" s="5" t="s">
        <v>46</v>
      </c>
      <c r="B5" s="5" t="s">
        <v>47</v>
      </c>
      <c r="C5" s="5" t="s">
        <v>48</v>
      </c>
      <c r="D5" s="5" t="s">
        <v>39</v>
      </c>
      <c r="E5" s="5" t="s">
        <v>49</v>
      </c>
    </row>
    <row r="6" spans="1:5" x14ac:dyDescent="0.35">
      <c r="A6" s="19">
        <v>1</v>
      </c>
      <c r="B6" s="26">
        <v>0</v>
      </c>
      <c r="C6" s="26">
        <v>200</v>
      </c>
      <c r="D6" s="27">
        <v>0</v>
      </c>
      <c r="E6" s="19" t="s">
        <v>50</v>
      </c>
    </row>
    <row r="7" spans="1:5" x14ac:dyDescent="0.35">
      <c r="A7" s="19">
        <v>2</v>
      </c>
      <c r="B7" s="26">
        <v>200</v>
      </c>
      <c r="C7" s="26">
        <v>400</v>
      </c>
      <c r="D7" s="27">
        <v>4.95</v>
      </c>
      <c r="E7" s="19"/>
    </row>
    <row r="8" spans="1:5" x14ac:dyDescent="0.35">
      <c r="A8" s="19">
        <v>3</v>
      </c>
      <c r="B8" s="26">
        <v>400</v>
      </c>
      <c r="C8" s="26">
        <v>500</v>
      </c>
      <c r="D8" s="27">
        <v>6.65</v>
      </c>
      <c r="E8" s="19" t="s">
        <v>51</v>
      </c>
    </row>
    <row r="9" spans="1:5" x14ac:dyDescent="0.35">
      <c r="A9" s="19"/>
      <c r="B9" s="19"/>
      <c r="C9" s="19"/>
      <c r="D9" s="22"/>
      <c r="E9" s="19"/>
    </row>
    <row r="10" spans="1:5" x14ac:dyDescent="0.35">
      <c r="A10" s="28" t="s">
        <v>52</v>
      </c>
      <c r="B10" s="19"/>
      <c r="C10" s="19"/>
      <c r="D10" s="22"/>
      <c r="E10" s="19"/>
    </row>
    <row r="11" spans="1:5" x14ac:dyDescent="0.35">
      <c r="A11" s="19"/>
      <c r="B11" s="19"/>
      <c r="C11" s="19"/>
      <c r="D11" s="22"/>
      <c r="E11" s="19"/>
    </row>
    <row r="12" spans="1:5" x14ac:dyDescent="0.35">
      <c r="A12" s="19"/>
      <c r="B12" s="19"/>
      <c r="C12" s="19"/>
      <c r="D12" s="22"/>
      <c r="E12" s="19"/>
    </row>
    <row r="15" spans="1:5" x14ac:dyDescent="0.35">
      <c r="A15" s="18" t="s">
        <v>53</v>
      </c>
    </row>
    <row r="16" spans="1:5" x14ac:dyDescent="0.35">
      <c r="A16" s="5" t="s">
        <v>46</v>
      </c>
      <c r="B16" s="5" t="s">
        <v>47</v>
      </c>
      <c r="C16" s="5" t="s">
        <v>48</v>
      </c>
      <c r="D16" s="5" t="s">
        <v>39</v>
      </c>
      <c r="E16" s="5" t="s">
        <v>49</v>
      </c>
    </row>
    <row r="17" spans="1:5" x14ac:dyDescent="0.35">
      <c r="A17" s="19">
        <v>1</v>
      </c>
      <c r="B17" s="29">
        <v>0</v>
      </c>
      <c r="C17" s="29">
        <v>100</v>
      </c>
      <c r="D17" s="27">
        <v>0</v>
      </c>
      <c r="E17" s="19" t="s">
        <v>54</v>
      </c>
    </row>
    <row r="18" spans="1:5" x14ac:dyDescent="0.35">
      <c r="A18" s="19">
        <v>2</v>
      </c>
      <c r="B18" s="29">
        <v>100</v>
      </c>
      <c r="C18" s="29">
        <v>400</v>
      </c>
      <c r="D18" s="27">
        <v>4.95</v>
      </c>
      <c r="E18" s="19"/>
    </row>
    <row r="19" spans="1:5" x14ac:dyDescent="0.35">
      <c r="A19" s="19">
        <v>3</v>
      </c>
      <c r="B19" s="29">
        <v>400</v>
      </c>
      <c r="C19" s="29">
        <v>500</v>
      </c>
      <c r="D19" s="27">
        <v>6.65</v>
      </c>
      <c r="E19" s="19"/>
    </row>
    <row r="20" spans="1:5" x14ac:dyDescent="0.35">
      <c r="A20" s="19">
        <v>4</v>
      </c>
      <c r="B20" s="29">
        <v>500</v>
      </c>
      <c r="C20" s="29">
        <v>600</v>
      </c>
      <c r="D20" s="27">
        <v>8.8000000000000007</v>
      </c>
      <c r="E20" s="19"/>
    </row>
    <row r="21" spans="1:5" x14ac:dyDescent="0.35">
      <c r="A21" s="19">
        <v>5</v>
      </c>
      <c r="B21" s="29">
        <v>600</v>
      </c>
      <c r="C21" s="29">
        <v>800</v>
      </c>
      <c r="D21" s="27">
        <v>9.9499999999999993</v>
      </c>
      <c r="E21" s="19"/>
    </row>
    <row r="22" spans="1:5" x14ac:dyDescent="0.35">
      <c r="A22" s="19">
        <v>6</v>
      </c>
      <c r="B22" s="29">
        <v>800</v>
      </c>
      <c r="C22" s="29">
        <v>1000</v>
      </c>
      <c r="D22" s="27">
        <v>11.05</v>
      </c>
      <c r="E22" s="19"/>
    </row>
    <row r="23" spans="1:5" x14ac:dyDescent="0.35">
      <c r="A23" s="19">
        <v>7</v>
      </c>
      <c r="B23" s="29">
        <v>1000</v>
      </c>
      <c r="C23" s="29">
        <v>999999999</v>
      </c>
      <c r="D23" s="27">
        <v>12.15</v>
      </c>
      <c r="E23" s="19" t="s">
        <v>55</v>
      </c>
    </row>
    <row r="26" spans="1:5" x14ac:dyDescent="0.35">
      <c r="A26" s="18" t="s">
        <v>56</v>
      </c>
    </row>
    <row r="27" spans="1:5" x14ac:dyDescent="0.35">
      <c r="A27" s="5" t="s">
        <v>57</v>
      </c>
      <c r="B27" s="5" t="s">
        <v>12</v>
      </c>
      <c r="C27" s="5" t="s">
        <v>58</v>
      </c>
    </row>
    <row r="28" spans="1:5" x14ac:dyDescent="0.35">
      <c r="A28" s="19" t="s">
        <v>59</v>
      </c>
      <c r="B28" s="26">
        <v>500</v>
      </c>
      <c r="C28" s="8" t="s">
        <v>60</v>
      </c>
    </row>
    <row r="29" spans="1:5" x14ac:dyDescent="0.35">
      <c r="A29" s="19" t="s">
        <v>61</v>
      </c>
      <c r="B29" s="26">
        <v>100</v>
      </c>
      <c r="C29" s="8" t="s">
        <v>62</v>
      </c>
    </row>
    <row r="30" spans="1:5" x14ac:dyDescent="0.35">
      <c r="A30" s="19" t="s">
        <v>63</v>
      </c>
      <c r="B30" s="27">
        <v>6.65</v>
      </c>
      <c r="C30" s="8" t="s">
        <v>64</v>
      </c>
    </row>
    <row r="31" spans="1:5" x14ac:dyDescent="0.35">
      <c r="A31" s="19" t="s">
        <v>65</v>
      </c>
      <c r="B31" s="27">
        <v>10.45</v>
      </c>
      <c r="C31" s="8" t="s">
        <v>66</v>
      </c>
    </row>
    <row r="32" spans="1:5" x14ac:dyDescent="0.35">
      <c r="A32" s="19" t="s">
        <v>67</v>
      </c>
      <c r="B32" s="26">
        <v>110</v>
      </c>
      <c r="C32" s="8" t="s">
        <v>68</v>
      </c>
    </row>
    <row r="33" spans="1:5" x14ac:dyDescent="0.35">
      <c r="A33" s="19" t="s">
        <v>69</v>
      </c>
      <c r="B33" s="26">
        <v>332</v>
      </c>
      <c r="C33" s="8"/>
    </row>
    <row r="34" spans="1:5" x14ac:dyDescent="0.35">
      <c r="A34" s="19" t="s">
        <v>70</v>
      </c>
      <c r="B34" s="26">
        <v>608</v>
      </c>
      <c r="C34" s="8"/>
    </row>
    <row r="35" spans="1:5" x14ac:dyDescent="0.35">
      <c r="A35" s="19" t="s">
        <v>71</v>
      </c>
      <c r="B35" s="26">
        <v>50</v>
      </c>
      <c r="C35" s="8"/>
    </row>
    <row r="36" spans="1:5" x14ac:dyDescent="0.35">
      <c r="A36" s="19" t="s">
        <v>72</v>
      </c>
      <c r="B36" s="26">
        <v>112</v>
      </c>
      <c r="C36" s="8"/>
    </row>
    <row r="37" spans="1:5" x14ac:dyDescent="0.35">
      <c r="A37" s="19" t="s">
        <v>73</v>
      </c>
      <c r="B37" s="26">
        <v>2</v>
      </c>
      <c r="C37" s="8" t="s">
        <v>74</v>
      </c>
    </row>
    <row r="38" spans="1:5" x14ac:dyDescent="0.35">
      <c r="A38" s="19" t="s">
        <v>75</v>
      </c>
      <c r="B38" s="30">
        <v>0.05</v>
      </c>
      <c r="C38" s="8" t="s">
        <v>76</v>
      </c>
    </row>
    <row r="39" spans="1:5" x14ac:dyDescent="0.35">
      <c r="A39" s="19" t="s">
        <v>77</v>
      </c>
      <c r="B39" s="26">
        <v>0</v>
      </c>
      <c r="C39" s="8" t="s">
        <v>78</v>
      </c>
    </row>
    <row r="41" spans="1:5" ht="30" customHeight="1" x14ac:dyDescent="0.35">
      <c r="A41" s="1" t="s">
        <v>79</v>
      </c>
      <c r="B41" s="1"/>
      <c r="C41" s="1"/>
      <c r="D41" s="1"/>
      <c r="E41" s="1"/>
    </row>
    <row r="42" spans="1:5" ht="30" customHeight="1" x14ac:dyDescent="0.35">
      <c r="A42" s="1" t="s">
        <v>80</v>
      </c>
      <c r="B42" s="1"/>
      <c r="C42" s="1"/>
      <c r="D42" s="1"/>
      <c r="E42" s="1"/>
    </row>
  </sheetData>
  <mergeCells count="3">
    <mergeCell ref="A2:E2"/>
    <mergeCell ref="A41:E41"/>
    <mergeCell ref="A42:E4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opLeftCell="A12" zoomScaleNormal="100" workbookViewId="0">
      <selection activeCell="B12" sqref="B12"/>
    </sheetView>
  </sheetViews>
  <sheetFormatPr defaultColWidth="8.6328125" defaultRowHeight="14.5" x14ac:dyDescent="0.35"/>
  <cols>
    <col min="1" max="1" width="48" customWidth="1"/>
    <col min="2" max="3" width="16" customWidth="1"/>
    <col min="4" max="4" width="14" customWidth="1"/>
    <col min="5" max="5" width="16" customWidth="1"/>
    <col min="6" max="6" width="22" customWidth="1"/>
    <col min="7" max="7" width="18" customWidth="1"/>
  </cols>
  <sheetData>
    <row r="1" spans="1:7" ht="15.5" x14ac:dyDescent="0.35">
      <c r="A1" s="31" t="s">
        <v>81</v>
      </c>
    </row>
    <row r="2" spans="1:7" x14ac:dyDescent="0.35">
      <c r="A2" s="33" t="s">
        <v>5</v>
      </c>
      <c r="B2" s="34" t="str">
        <f>Calculator!B5</f>
        <v>Home</v>
      </c>
    </row>
    <row r="3" spans="1:7" x14ac:dyDescent="0.35">
      <c r="A3" s="6" t="s">
        <v>82</v>
      </c>
      <c r="B3" s="23">
        <f>N(Calculator!B6)</f>
        <v>4000</v>
      </c>
    </row>
    <row r="4" spans="1:7" x14ac:dyDescent="0.35">
      <c r="A4" s="6" t="s">
        <v>83</v>
      </c>
      <c r="B4" s="23">
        <f>Calculator!B16</f>
        <v>0</v>
      </c>
    </row>
    <row r="5" spans="1:7" x14ac:dyDescent="0.35">
      <c r="A5" s="6" t="s">
        <v>84</v>
      </c>
      <c r="B5" s="23">
        <f>MAX(0,B3-B4)/(1+IF(B2="Home",'Tariff Master'!$B$39,'Tariff Master'!$B$38))</f>
        <v>4000</v>
      </c>
    </row>
    <row r="6" spans="1:7" x14ac:dyDescent="0.35">
      <c r="A6" s="6" t="s">
        <v>85</v>
      </c>
      <c r="B6" s="23">
        <f>F22+E22*D22</f>
        <v>1655</v>
      </c>
    </row>
    <row r="7" spans="1:7" x14ac:dyDescent="0.35">
      <c r="A7" s="6" t="s">
        <v>86</v>
      </c>
      <c r="B7" s="23">
        <f>SUM(G16:G22)</f>
        <v>500</v>
      </c>
    </row>
    <row r="8" spans="1:7" x14ac:dyDescent="0.35">
      <c r="A8" s="6" t="s">
        <v>87</v>
      </c>
      <c r="B8" s="23">
        <f>SUM(G26:G32)</f>
        <v>697.48743718592959</v>
      </c>
    </row>
    <row r="9" spans="1:7" x14ac:dyDescent="0.35">
      <c r="A9" s="6" t="s">
        <v>88</v>
      </c>
      <c r="B9" s="23">
        <f>IF(B5&lt;=B6,B7,MAX(B8,'Tariff Master'!$B$28))</f>
        <v>697.48743718592959</v>
      </c>
    </row>
    <row r="10" spans="1:7" x14ac:dyDescent="0.35">
      <c r="A10" s="6" t="s">
        <v>89</v>
      </c>
      <c r="B10" s="23">
        <f>IF(B5&lt;='Tariff Master'!$B$29*'Tariff Master'!$B$30,B5/'Tariff Master'!$B$30,MAX('Tariff Master'!$B$29,B5/'Tariff Master'!$B$31))</f>
        <v>382.7751196172249</v>
      </c>
    </row>
    <row r="11" spans="1:7" x14ac:dyDescent="0.35">
      <c r="A11" s="6" t="s">
        <v>90</v>
      </c>
      <c r="B11" s="23">
        <f>IF(B2="Home",B9,B10)</f>
        <v>697.48743718592959</v>
      </c>
    </row>
    <row r="12" spans="1:7" x14ac:dyDescent="0.35">
      <c r="A12" s="6" t="s">
        <v>91</v>
      </c>
      <c r="B12" s="32" t="b">
        <f>IF(B2="Home",AND(B5&gt;B6,B8&lt;='Tariff Master'!$B$28),AND(B5&gt;'Tariff Master'!$B$29*'Tariff Master'!$B$30,B5/'Tariff Master'!$B$31&lt;='Tariff Master'!$B$29))</f>
        <v>0</v>
      </c>
    </row>
    <row r="14" spans="1:7" x14ac:dyDescent="0.35">
      <c r="A14" s="18" t="s">
        <v>92</v>
      </c>
    </row>
    <row r="15" spans="1:7" x14ac:dyDescent="0.35">
      <c r="A15" s="5" t="s">
        <v>35</v>
      </c>
      <c r="B15" s="5" t="s">
        <v>36</v>
      </c>
      <c r="C15" s="5" t="s">
        <v>37</v>
      </c>
      <c r="D15" s="5" t="s">
        <v>39</v>
      </c>
      <c r="E15" s="5" t="s">
        <v>93</v>
      </c>
      <c r="F15" s="5" t="s">
        <v>94</v>
      </c>
      <c r="G15" s="5" t="s">
        <v>95</v>
      </c>
    </row>
    <row r="16" spans="1:7" x14ac:dyDescent="0.35">
      <c r="A16" s="23">
        <v>1</v>
      </c>
      <c r="B16" s="23">
        <f>'Tariff Master'!B6</f>
        <v>0</v>
      </c>
      <c r="C16" s="23">
        <f>'Tariff Master'!C6</f>
        <v>200</v>
      </c>
      <c r="D16" s="23">
        <f>'Tariff Master'!D6</f>
        <v>0</v>
      </c>
      <c r="E16" s="23">
        <f t="shared" ref="E16:E22" si="0">C16-B16</f>
        <v>200</v>
      </c>
      <c r="F16" s="23">
        <v>0</v>
      </c>
      <c r="G16" s="23">
        <f t="shared" ref="G16:G22" si="1">IF(E16=0,0,IF(D16=0,E16,MIN(E16,MAX(0,$B$5-F16)/D16)))</f>
        <v>200</v>
      </c>
    </row>
    <row r="17" spans="1:7" x14ac:dyDescent="0.35">
      <c r="A17" s="23">
        <v>2</v>
      </c>
      <c r="B17" s="23">
        <f>'Tariff Master'!B7</f>
        <v>200</v>
      </c>
      <c r="C17" s="23">
        <f>'Tariff Master'!C7</f>
        <v>400</v>
      </c>
      <c r="D17" s="23">
        <f>'Tariff Master'!D7</f>
        <v>4.95</v>
      </c>
      <c r="E17" s="23">
        <f t="shared" si="0"/>
        <v>200</v>
      </c>
      <c r="F17" s="23">
        <f t="shared" ref="F17:F22" si="2">F16+E16*D16</f>
        <v>0</v>
      </c>
      <c r="G17" s="23">
        <f t="shared" si="1"/>
        <v>200</v>
      </c>
    </row>
    <row r="18" spans="1:7" x14ac:dyDescent="0.35">
      <c r="A18" s="23">
        <v>3</v>
      </c>
      <c r="B18" s="23">
        <f>'Tariff Master'!B8</f>
        <v>400</v>
      </c>
      <c r="C18" s="23">
        <f>'Tariff Master'!C8</f>
        <v>500</v>
      </c>
      <c r="D18" s="23">
        <f>'Tariff Master'!D8</f>
        <v>6.65</v>
      </c>
      <c r="E18" s="23">
        <f t="shared" si="0"/>
        <v>100</v>
      </c>
      <c r="F18" s="23">
        <f t="shared" si="2"/>
        <v>990</v>
      </c>
      <c r="G18" s="23">
        <f t="shared" si="1"/>
        <v>100</v>
      </c>
    </row>
    <row r="19" spans="1:7" x14ac:dyDescent="0.35">
      <c r="A19" s="23">
        <v>4</v>
      </c>
      <c r="B19" s="23">
        <f>'Tariff Master'!B9</f>
        <v>0</v>
      </c>
      <c r="C19" s="23">
        <f>'Tariff Master'!C9</f>
        <v>0</v>
      </c>
      <c r="D19" s="23">
        <f>'Tariff Master'!D9</f>
        <v>0</v>
      </c>
      <c r="E19" s="23">
        <f t="shared" si="0"/>
        <v>0</v>
      </c>
      <c r="F19" s="23">
        <f t="shared" si="2"/>
        <v>1655</v>
      </c>
      <c r="G19" s="23">
        <f t="shared" si="1"/>
        <v>0</v>
      </c>
    </row>
    <row r="20" spans="1:7" x14ac:dyDescent="0.35">
      <c r="A20" s="23">
        <v>5</v>
      </c>
      <c r="B20" s="23">
        <f>'Tariff Master'!B10</f>
        <v>0</v>
      </c>
      <c r="C20" s="23">
        <f>'Tariff Master'!C10</f>
        <v>0</v>
      </c>
      <c r="D20" s="23">
        <f>'Tariff Master'!D10</f>
        <v>0</v>
      </c>
      <c r="E20" s="23">
        <f t="shared" si="0"/>
        <v>0</v>
      </c>
      <c r="F20" s="23">
        <f t="shared" si="2"/>
        <v>1655</v>
      </c>
      <c r="G20" s="23">
        <f t="shared" si="1"/>
        <v>0</v>
      </c>
    </row>
    <row r="21" spans="1:7" x14ac:dyDescent="0.35">
      <c r="A21" s="23">
        <v>6</v>
      </c>
      <c r="B21" s="23">
        <f>'Tariff Master'!B11</f>
        <v>0</v>
      </c>
      <c r="C21" s="23">
        <f>'Tariff Master'!C11</f>
        <v>0</v>
      </c>
      <c r="D21" s="23">
        <f>'Tariff Master'!D11</f>
        <v>0</v>
      </c>
      <c r="E21" s="23">
        <f t="shared" si="0"/>
        <v>0</v>
      </c>
      <c r="F21" s="23">
        <f t="shared" si="2"/>
        <v>1655</v>
      </c>
      <c r="G21" s="23">
        <f t="shared" si="1"/>
        <v>0</v>
      </c>
    </row>
    <row r="22" spans="1:7" x14ac:dyDescent="0.35">
      <c r="A22" s="23">
        <v>7</v>
      </c>
      <c r="B22" s="23">
        <f>'Tariff Master'!B12</f>
        <v>0</v>
      </c>
      <c r="C22" s="23">
        <f>'Tariff Master'!C12</f>
        <v>0</v>
      </c>
      <c r="D22" s="23">
        <f>'Tariff Master'!D12</f>
        <v>0</v>
      </c>
      <c r="E22" s="23">
        <f t="shared" si="0"/>
        <v>0</v>
      </c>
      <c r="F22" s="23">
        <f t="shared" si="2"/>
        <v>1655</v>
      </c>
      <c r="G22" s="23">
        <f t="shared" si="1"/>
        <v>0</v>
      </c>
    </row>
    <row r="24" spans="1:7" x14ac:dyDescent="0.35">
      <c r="A24" s="18" t="s">
        <v>96</v>
      </c>
    </row>
    <row r="25" spans="1:7" x14ac:dyDescent="0.35">
      <c r="A25" s="5" t="s">
        <v>35</v>
      </c>
      <c r="B25" s="5" t="s">
        <v>36</v>
      </c>
      <c r="C25" s="5" t="s">
        <v>37</v>
      </c>
      <c r="D25" s="5" t="s">
        <v>39</v>
      </c>
      <c r="E25" s="5" t="s">
        <v>93</v>
      </c>
      <c r="F25" s="5" t="s">
        <v>94</v>
      </c>
      <c r="G25" s="5" t="s">
        <v>95</v>
      </c>
    </row>
    <row r="26" spans="1:7" x14ac:dyDescent="0.35">
      <c r="A26" s="23">
        <v>1</v>
      </c>
      <c r="B26" s="23">
        <f>'Tariff Master'!B17</f>
        <v>0</v>
      </c>
      <c r="C26" s="23">
        <f>'Tariff Master'!C17</f>
        <v>100</v>
      </c>
      <c r="D26" s="23">
        <f>'Tariff Master'!D17</f>
        <v>0</v>
      </c>
      <c r="E26" s="23">
        <f t="shared" ref="E26:E32" si="3">C26-B26</f>
        <v>100</v>
      </c>
      <c r="F26" s="23">
        <v>0</v>
      </c>
      <c r="G26" s="23">
        <f t="shared" ref="G26:G32" si="4">IF(E26=0,0,IF(D26=0,E26,MIN(E26,MAX(0,$B$5-F26)/D26)))</f>
        <v>100</v>
      </c>
    </row>
    <row r="27" spans="1:7" x14ac:dyDescent="0.35">
      <c r="A27" s="23">
        <v>2</v>
      </c>
      <c r="B27" s="23">
        <f>'Tariff Master'!B18</f>
        <v>100</v>
      </c>
      <c r="C27" s="23">
        <f>'Tariff Master'!C18</f>
        <v>400</v>
      </c>
      <c r="D27" s="23">
        <f>'Tariff Master'!D18</f>
        <v>4.95</v>
      </c>
      <c r="E27" s="23">
        <f t="shared" si="3"/>
        <v>300</v>
      </c>
      <c r="F27" s="23">
        <f t="shared" ref="F27:F32" si="5">F26+E26*D26</f>
        <v>0</v>
      </c>
      <c r="G27" s="23">
        <f t="shared" si="4"/>
        <v>300</v>
      </c>
    </row>
    <row r="28" spans="1:7" x14ac:dyDescent="0.35">
      <c r="A28" s="23">
        <v>3</v>
      </c>
      <c r="B28" s="23">
        <f>'Tariff Master'!B19</f>
        <v>400</v>
      </c>
      <c r="C28" s="23">
        <f>'Tariff Master'!C19</f>
        <v>500</v>
      </c>
      <c r="D28" s="23">
        <f>'Tariff Master'!D19</f>
        <v>6.65</v>
      </c>
      <c r="E28" s="23">
        <f t="shared" si="3"/>
        <v>100</v>
      </c>
      <c r="F28" s="23">
        <f t="shared" si="5"/>
        <v>1485</v>
      </c>
      <c r="G28" s="23">
        <f t="shared" si="4"/>
        <v>100</v>
      </c>
    </row>
    <row r="29" spans="1:7" x14ac:dyDescent="0.35">
      <c r="A29" s="23">
        <v>4</v>
      </c>
      <c r="B29" s="23">
        <f>'Tariff Master'!B20</f>
        <v>500</v>
      </c>
      <c r="C29" s="23">
        <f>'Tariff Master'!C20</f>
        <v>600</v>
      </c>
      <c r="D29" s="23">
        <f>'Tariff Master'!D20</f>
        <v>8.8000000000000007</v>
      </c>
      <c r="E29" s="23">
        <f t="shared" si="3"/>
        <v>100</v>
      </c>
      <c r="F29" s="23">
        <f t="shared" si="5"/>
        <v>2150</v>
      </c>
      <c r="G29" s="23">
        <f t="shared" si="4"/>
        <v>100</v>
      </c>
    </row>
    <row r="30" spans="1:7" x14ac:dyDescent="0.35">
      <c r="A30" s="23">
        <v>5</v>
      </c>
      <c r="B30" s="23">
        <f>'Tariff Master'!B21</f>
        <v>600</v>
      </c>
      <c r="C30" s="23">
        <f>'Tariff Master'!C21</f>
        <v>800</v>
      </c>
      <c r="D30" s="23">
        <f>'Tariff Master'!D21</f>
        <v>9.9499999999999993</v>
      </c>
      <c r="E30" s="23">
        <f t="shared" si="3"/>
        <v>200</v>
      </c>
      <c r="F30" s="23">
        <f t="shared" si="5"/>
        <v>3030</v>
      </c>
      <c r="G30" s="23">
        <f t="shared" si="4"/>
        <v>97.48743718592965</v>
      </c>
    </row>
    <row r="31" spans="1:7" x14ac:dyDescent="0.35">
      <c r="A31" s="23">
        <v>6</v>
      </c>
      <c r="B31" s="23">
        <f>'Tariff Master'!B22</f>
        <v>800</v>
      </c>
      <c r="C31" s="23">
        <f>'Tariff Master'!C22</f>
        <v>1000</v>
      </c>
      <c r="D31" s="23">
        <f>'Tariff Master'!D22</f>
        <v>11.05</v>
      </c>
      <c r="E31" s="23">
        <f t="shared" si="3"/>
        <v>200</v>
      </c>
      <c r="F31" s="23">
        <f t="shared" si="5"/>
        <v>5020</v>
      </c>
      <c r="G31" s="23">
        <f t="shared" si="4"/>
        <v>0</v>
      </c>
    </row>
    <row r="32" spans="1:7" x14ac:dyDescent="0.35">
      <c r="A32" s="23">
        <v>7</v>
      </c>
      <c r="B32" s="23">
        <f>'Tariff Master'!B23</f>
        <v>1000</v>
      </c>
      <c r="C32" s="23">
        <f>'Tariff Master'!C23</f>
        <v>999999999</v>
      </c>
      <c r="D32" s="23">
        <f>'Tariff Master'!D23</f>
        <v>12.15</v>
      </c>
      <c r="E32" s="23">
        <f t="shared" si="3"/>
        <v>999998999</v>
      </c>
      <c r="F32" s="23">
        <f t="shared" si="5"/>
        <v>7230</v>
      </c>
      <c r="G32" s="23">
        <f t="shared" si="4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Solar</vt:lpstr>
      <vt:lpstr>Calculator</vt:lpstr>
      <vt:lpstr>Tariff Master</vt:lpstr>
      <vt:lpstr>Workings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Narayanan Jaganathan</cp:lastModifiedBy>
  <cp:revision>0</cp:revision>
  <dcterms:created xsi:type="dcterms:W3CDTF">2026-10-05T15:06:06Z</dcterms:created>
  <dcterms:modified xsi:type="dcterms:W3CDTF">2026-10-05T18:39:58Z</dcterms:modified>
  <dc:language>en-US</dc:language>
</cp:coreProperties>
</file>